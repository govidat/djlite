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C757D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4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6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Demand Forecast — Jan-Jun 2025 Baseline</t>
        </is>
      </c>
    </row>
    <row r="2" ht="16" customHeight="1">
      <c r="A2" s="2" t="inlineStr">
        <is>
          <t>Status: APPROVED  |  Period: month  |  Base end: 2024-12-31  |  Horizon: 6 periods  |  Exported: 2026-06-23</t>
        </is>
      </c>
    </row>
    <row r="3" ht="6" customHeight="1"/>
    <row r="4" ht="28" customHeight="1">
      <c r="A4" s="3" t="inlineStr">
        <is>
          <t>Location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Customer</t>
        </is>
      </c>
      <c r="E4" s="3" t="inlineStr">
        <is>
          <t>UOM</t>
        </is>
      </c>
      <c r="F4" s="3" t="inlineStr">
        <is>
          <t>Price (₹)</t>
        </is>
      </c>
      <c r="G4" s="4" t="inlineStr">
        <is>
          <t>Jan-25</t>
        </is>
      </c>
      <c r="H4" s="4" t="inlineStr">
        <is>
          <t>Feb-25</t>
        </is>
      </c>
      <c r="I4" s="4" t="inlineStr">
        <is>
          <t>Mar-25</t>
        </is>
      </c>
      <c r="J4" s="4" t="inlineStr">
        <is>
          <t>Apr-25</t>
        </is>
      </c>
      <c r="K4" s="4" t="inlineStr">
        <is>
          <t>May-25</t>
        </is>
      </c>
      <c r="L4" s="4" t="inlineStr">
        <is>
          <t>Jun-25</t>
        </is>
      </c>
    </row>
    <row r="5">
      <c r="A5" s="5" t="inlineStr">
        <is>
          <t>cbe</t>
        </is>
      </c>
      <c r="B5" s="5" t="inlineStr">
        <is>
          <t>sku-bsh-aft-001</t>
        </is>
      </c>
      <c r="C5" s="5" t="inlineStr">
        <is>
          <t>Bosch Air Filter (Passenger Car)</t>
        </is>
      </c>
      <c r="D5" s="5" t="inlineStr">
        <is>
          <t>cust-cbe-001</t>
        </is>
      </c>
      <c r="E5" s="5" t="inlineStr">
        <is>
          <t>EA</t>
        </is>
      </c>
      <c r="F5" s="6" t="n">
        <v>340</v>
      </c>
      <c r="G5" s="7" t="n">
        <v>30.456</v>
      </c>
      <c r="H5" s="7" t="n">
        <v>30.456</v>
      </c>
      <c r="I5" s="7" t="n">
        <v>30.456</v>
      </c>
      <c r="J5" s="7" t="n">
        <v>30.456</v>
      </c>
      <c r="K5" s="7" t="n">
        <v>30.456</v>
      </c>
      <c r="L5" s="7" t="n">
        <v>30.456</v>
      </c>
    </row>
    <row r="6">
      <c r="A6" s="5" t="inlineStr">
        <is>
          <t>cbe</t>
        </is>
      </c>
      <c r="B6" s="5" t="inlineStr">
        <is>
          <t>sku-bsh-oft-001</t>
        </is>
      </c>
      <c r="C6" s="5" t="inlineStr">
        <is>
          <t>Bosch Oil Filter (Universal)</t>
        </is>
      </c>
      <c r="D6" s="5" t="inlineStr">
        <is>
          <t>cust-cbe-001</t>
        </is>
      </c>
      <c r="E6" s="5" t="inlineStr">
        <is>
          <t>EA</t>
        </is>
      </c>
      <c r="F6" s="6" t="n">
        <v>185</v>
      </c>
      <c r="G6" s="7" t="n">
        <v>62.765</v>
      </c>
      <c r="H6" s="7" t="n">
        <v>62.765</v>
      </c>
      <c r="I6" s="7" t="n">
        <v>62.765</v>
      </c>
      <c r="J6" s="7" t="n">
        <v>62.765</v>
      </c>
      <c r="K6" s="7" t="n">
        <v>62.765</v>
      </c>
      <c r="L6" s="7" t="n">
        <v>62.765</v>
      </c>
    </row>
    <row r="7">
      <c r="A7" s="5" t="inlineStr">
        <is>
          <t>cbe</t>
        </is>
      </c>
      <c r="B7" s="5" t="inlineStr">
        <is>
          <t>sku-mnd-trn-001</t>
        </is>
      </c>
      <c r="C7" s="5" t="inlineStr">
        <is>
          <t>Minda Turn Signal Relay 12V</t>
        </is>
      </c>
      <c r="D7" s="5" t="inlineStr">
        <is>
          <t>cust-cbe-001</t>
        </is>
      </c>
      <c r="E7" s="5" t="inlineStr">
        <is>
          <t>EA</t>
        </is>
      </c>
      <c r="F7" s="6" t="n">
        <v>320</v>
      </c>
      <c r="G7" s="7" t="n">
        <v>16.22</v>
      </c>
      <c r="H7" s="7" t="n">
        <v>16.22</v>
      </c>
      <c r="I7" s="7" t="n">
        <v>16.22</v>
      </c>
      <c r="J7" s="7" t="n">
        <v>16.22</v>
      </c>
      <c r="K7" s="7" t="n">
        <v>16.22</v>
      </c>
      <c r="L7" s="7" t="n">
        <v>16.22</v>
      </c>
    </row>
    <row r="8">
      <c r="A8" s="5" t="inlineStr">
        <is>
          <t>cbe</t>
        </is>
      </c>
      <c r="B8" s="5" t="inlineStr">
        <is>
          <t>sku-scl-blf-001</t>
        </is>
      </c>
      <c r="C8" s="5" t="inlineStr">
        <is>
          <t>Sundaram-Clayton Brake Fluid DOT4</t>
        </is>
      </c>
      <c r="D8" s="5" t="inlineStr">
        <is>
          <t>cust-cbe-001</t>
        </is>
      </c>
      <c r="E8" s="5" t="inlineStr">
        <is>
          <t>EA</t>
        </is>
      </c>
      <c r="F8" s="6" t="n">
        <v>220</v>
      </c>
      <c r="G8" s="7" t="n">
        <v>39.283</v>
      </c>
      <c r="H8" s="7" t="n">
        <v>39.283</v>
      </c>
      <c r="I8" s="7" t="n">
        <v>39.283</v>
      </c>
      <c r="J8" s="7" t="n">
        <v>39.283</v>
      </c>
      <c r="K8" s="7" t="n">
        <v>39.283</v>
      </c>
      <c r="L8" s="7" t="n">
        <v>39.283</v>
      </c>
    </row>
    <row r="9">
      <c r="A9" s="5" t="inlineStr">
        <is>
          <t>cbe</t>
        </is>
      </c>
      <c r="B9" s="5" t="inlineStr">
        <is>
          <t>sku-tvs-bpf-001</t>
        </is>
      </c>
      <c r="C9" s="5" t="inlineStr">
        <is>
          <t>TVS Brake Pad Front (Set)</t>
        </is>
      </c>
      <c r="D9" s="5" t="inlineStr">
        <is>
          <t>cust-cbe-001</t>
        </is>
      </c>
      <c r="E9" s="5" t="inlineStr">
        <is>
          <t>EA</t>
        </is>
      </c>
      <c r="F9" s="6" t="n">
        <v>680</v>
      </c>
      <c r="G9" s="7" t="n">
        <v>28.222</v>
      </c>
      <c r="H9" s="7" t="n">
        <v>28.222</v>
      </c>
      <c r="I9" s="7" t="n">
        <v>28.222</v>
      </c>
      <c r="J9" s="7" t="n">
        <v>28.222</v>
      </c>
      <c r="K9" s="7" t="n">
        <v>28.222</v>
      </c>
      <c r="L9" s="7" t="n">
        <v>28.222</v>
      </c>
    </row>
    <row r="10">
      <c r="A10" s="5" t="inlineStr">
        <is>
          <t>cbe</t>
        </is>
      </c>
      <c r="B10" s="5" t="inlineStr">
        <is>
          <t>sku-tvs-bpr-001</t>
        </is>
      </c>
      <c r="C10" s="5" t="inlineStr">
        <is>
          <t>TVS Brake Pad Rear (Set)</t>
        </is>
      </c>
      <c r="D10" s="5" t="inlineStr">
        <is>
          <t>cust-cbe-001</t>
        </is>
      </c>
      <c r="E10" s="5" t="inlineStr">
        <is>
          <t>EA</t>
        </is>
      </c>
      <c r="F10" s="6" t="n">
        <v>580</v>
      </c>
      <c r="G10" s="7" t="n">
        <v>22.776</v>
      </c>
      <c r="H10" s="7" t="n">
        <v>22.776</v>
      </c>
      <c r="I10" s="7" t="n">
        <v>22.776</v>
      </c>
      <c r="J10" s="7" t="n">
        <v>22.776</v>
      </c>
      <c r="K10" s="7" t="n">
        <v>22.776</v>
      </c>
      <c r="L10" s="7" t="n">
        <v>22.776</v>
      </c>
    </row>
    <row r="11">
      <c r="A11" s="5" t="inlineStr">
        <is>
          <t>cbe</t>
        </is>
      </c>
      <c r="B11" s="5" t="inlineStr">
        <is>
          <t>sku-vlo-fgl-001</t>
        </is>
      </c>
      <c r="C11" s="5" t="inlineStr">
        <is>
          <t>Valeo Fog Lamp Kit (Pair)</t>
        </is>
      </c>
      <c r="D11" s="5" t="inlineStr">
        <is>
          <t>cust-cbe-001</t>
        </is>
      </c>
      <c r="E11" s="5" t="inlineStr">
        <is>
          <t>EA</t>
        </is>
      </c>
      <c r="F11" s="6" t="n">
        <v>2100</v>
      </c>
      <c r="G11" s="7" t="n">
        <v>5.335</v>
      </c>
      <c r="H11" s="7" t="n">
        <v>5.335</v>
      </c>
      <c r="I11" s="7" t="n">
        <v>5.335</v>
      </c>
      <c r="J11" s="7" t="n">
        <v>5.335</v>
      </c>
      <c r="K11" s="7" t="n">
        <v>5.335</v>
      </c>
      <c r="L11" s="7" t="n">
        <v>5.335</v>
      </c>
    </row>
    <row r="12">
      <c r="A12" s="5" t="inlineStr">
        <is>
          <t>cbe</t>
        </is>
      </c>
      <c r="B12" s="5" t="inlineStr">
        <is>
          <t>sku-vlo-hdl-001</t>
        </is>
      </c>
      <c r="C12" s="5" t="inlineStr">
        <is>
          <t>Valeo Headlamp Bulb H4 55W</t>
        </is>
      </c>
      <c r="D12" s="5" t="inlineStr">
        <is>
          <t>cust-cbe-001</t>
        </is>
      </c>
      <c r="E12" s="5" t="inlineStr">
        <is>
          <t>EA</t>
        </is>
      </c>
      <c r="F12" s="6" t="n">
        <v>1250</v>
      </c>
      <c r="G12" s="7" t="n">
        <v>9.452999999999999</v>
      </c>
      <c r="H12" s="7" t="n">
        <v>9.452999999999999</v>
      </c>
      <c r="I12" s="7" t="n">
        <v>9.452999999999999</v>
      </c>
      <c r="J12" s="7" t="n">
        <v>9.452999999999999</v>
      </c>
      <c r="K12" s="7" t="n">
        <v>9.452999999999999</v>
      </c>
      <c r="L12" s="7" t="n">
        <v>9.452999999999999</v>
      </c>
    </row>
    <row r="13">
      <c r="A13" s="5" t="inlineStr">
        <is>
          <t>chn</t>
        </is>
      </c>
      <c r="B13" s="5" t="inlineStr">
        <is>
          <t>sku-bsh-aft-001</t>
        </is>
      </c>
      <c r="C13" s="5" t="inlineStr">
        <is>
          <t>Bosch Air Filter (Passenger Car)</t>
        </is>
      </c>
      <c r="D13" s="5" t="inlineStr">
        <is>
          <t>cust-chn-001</t>
        </is>
      </c>
      <c r="E13" s="5" t="inlineStr">
        <is>
          <t>EA</t>
        </is>
      </c>
      <c r="F13" s="6" t="n">
        <v>340</v>
      </c>
      <c r="G13" s="7" t="n">
        <v>43.405</v>
      </c>
      <c r="H13" s="7" t="n">
        <v>43.405</v>
      </c>
      <c r="I13" s="7" t="n">
        <v>43.405</v>
      </c>
      <c r="J13" s="7" t="n">
        <v>43.405</v>
      </c>
      <c r="K13" s="7" t="n">
        <v>43.405</v>
      </c>
      <c r="L13" s="7" t="n">
        <v>43.405</v>
      </c>
    </row>
    <row r="14">
      <c r="A14" s="5" t="inlineStr">
        <is>
          <t>chn</t>
        </is>
      </c>
      <c r="B14" s="5" t="inlineStr">
        <is>
          <t>sku-bsh-alt-001</t>
        </is>
      </c>
      <c r="C14" s="5" t="inlineStr">
        <is>
          <t>Bosch Alternator 14V 65A</t>
        </is>
      </c>
      <c r="D14" s="5" t="inlineStr">
        <is>
          <t>cust-chn-001</t>
        </is>
      </c>
      <c r="E14" s="5" t="inlineStr">
        <is>
          <t>EA</t>
        </is>
      </c>
      <c r="F14" s="6" t="n">
        <v>4850</v>
      </c>
      <c r="G14" s="7" t="n">
        <v>3.828</v>
      </c>
      <c r="H14" s="7" t="n">
        <v>3.828</v>
      </c>
      <c r="I14" s="7" t="n">
        <v>3.828</v>
      </c>
      <c r="J14" s="7" t="n">
        <v>3.828</v>
      </c>
      <c r="K14" s="7" t="n">
        <v>3.828</v>
      </c>
      <c r="L14" s="7" t="n">
        <v>3.828</v>
      </c>
    </row>
    <row r="15">
      <c r="A15" s="5" t="inlineStr">
        <is>
          <t>chn</t>
        </is>
      </c>
      <c r="B15" s="5" t="inlineStr">
        <is>
          <t>sku-bsh-alt-001</t>
        </is>
      </c>
      <c r="C15" s="5" t="inlineStr">
        <is>
          <t>Bosch Alternator 14V 65A</t>
        </is>
      </c>
      <c r="D15" s="5" t="inlineStr">
        <is>
          <t>cust-chn-002</t>
        </is>
      </c>
      <c r="E15" s="5" t="inlineStr">
        <is>
          <t>EA</t>
        </is>
      </c>
      <c r="F15" s="6" t="n">
        <v>4850</v>
      </c>
      <c r="G15" s="7" t="n">
        <v>3.691</v>
      </c>
      <c r="H15" s="7" t="n">
        <v>3.691</v>
      </c>
      <c r="I15" s="7" t="n">
        <v>3.691</v>
      </c>
      <c r="J15" s="7" t="n">
        <v>3.691</v>
      </c>
      <c r="K15" s="7" t="n">
        <v>3.691</v>
      </c>
      <c r="L15" s="7" t="n">
        <v>3.691</v>
      </c>
    </row>
    <row r="16">
      <c r="A16" s="5" t="inlineStr">
        <is>
          <t>chn</t>
        </is>
      </c>
      <c r="B16" s="5" t="inlineStr">
        <is>
          <t>sku-bsh-oft-001</t>
        </is>
      </c>
      <c r="C16" s="5" t="inlineStr">
        <is>
          <t>Bosch Oil Filter (Universal)</t>
        </is>
      </c>
      <c r="D16" s="5" t="inlineStr">
        <is>
          <t>cust-chn-001</t>
        </is>
      </c>
      <c r="E16" s="5" t="inlineStr">
        <is>
          <t>EA</t>
        </is>
      </c>
      <c r="F16" s="6" t="n">
        <v>185</v>
      </c>
      <c r="G16" s="7" t="n">
        <v>86.149</v>
      </c>
      <c r="H16" s="7" t="n">
        <v>86.149</v>
      </c>
      <c r="I16" s="7" t="n">
        <v>86.149</v>
      </c>
      <c r="J16" s="7" t="n">
        <v>86.149</v>
      </c>
      <c r="K16" s="7" t="n">
        <v>86.149</v>
      </c>
      <c r="L16" s="7" t="n">
        <v>86.149</v>
      </c>
    </row>
    <row r="17">
      <c r="A17" s="5" t="inlineStr">
        <is>
          <t>chn</t>
        </is>
      </c>
      <c r="B17" s="5" t="inlineStr">
        <is>
          <t>sku-bsh-oft-001</t>
        </is>
      </c>
      <c r="C17" s="5" t="inlineStr">
        <is>
          <t>Bosch Oil Filter (Universal)</t>
        </is>
      </c>
      <c r="D17" s="5" t="inlineStr">
        <is>
          <t>cust-chn-002</t>
        </is>
      </c>
      <c r="E17" s="5" t="inlineStr">
        <is>
          <t>EA</t>
        </is>
      </c>
      <c r="F17" s="6" t="n">
        <v>185</v>
      </c>
      <c r="G17" s="7" t="n">
        <v>81.705</v>
      </c>
      <c r="H17" s="7" t="n">
        <v>81.705</v>
      </c>
      <c r="I17" s="7" t="n">
        <v>81.705</v>
      </c>
      <c r="J17" s="7" t="n">
        <v>81.705</v>
      </c>
      <c r="K17" s="7" t="n">
        <v>81.705</v>
      </c>
      <c r="L17" s="7" t="n">
        <v>81.705</v>
      </c>
    </row>
    <row r="18">
      <c r="A18" s="5" t="inlineStr">
        <is>
          <t>chn</t>
        </is>
      </c>
      <c r="B18" s="5" t="inlineStr">
        <is>
          <t>sku-bsh-str-001</t>
        </is>
      </c>
      <c r="C18" s="5" t="inlineStr">
        <is>
          <t>Bosch Starter Motor 12V</t>
        </is>
      </c>
      <c r="D18" s="5" t="inlineStr">
        <is>
          <t>cust-chn-001</t>
        </is>
      </c>
      <c r="E18" s="5" t="inlineStr">
        <is>
          <t>EA</t>
        </is>
      </c>
      <c r="F18" s="6" t="n">
        <v>3200</v>
      </c>
      <c r="G18" s="7" t="n">
        <v>2.334</v>
      </c>
      <c r="H18" s="7" t="n">
        <v>2.334</v>
      </c>
      <c r="I18" s="7" t="n">
        <v>2.334</v>
      </c>
      <c r="J18" s="7" t="n">
        <v>2.334</v>
      </c>
      <c r="K18" s="7" t="n">
        <v>2.334</v>
      </c>
      <c r="L18" s="7" t="n">
        <v>2.334</v>
      </c>
    </row>
    <row r="19">
      <c r="A19" s="5" t="inlineStr">
        <is>
          <t>chn</t>
        </is>
      </c>
      <c r="B19" s="5" t="inlineStr">
        <is>
          <t>sku-bsh-str-001</t>
        </is>
      </c>
      <c r="C19" s="5" t="inlineStr">
        <is>
          <t>Bosch Starter Motor 12V</t>
        </is>
      </c>
      <c r="D19" s="5" t="inlineStr">
        <is>
          <t>cust-chn-002</t>
        </is>
      </c>
      <c r="E19" s="5" t="inlineStr">
        <is>
          <t>EA</t>
        </is>
      </c>
      <c r="F19" s="6" t="n">
        <v>3200</v>
      </c>
      <c r="G19" s="7" t="n">
        <v>2.778</v>
      </c>
      <c r="H19" s="7" t="n">
        <v>2.778</v>
      </c>
      <c r="I19" s="7" t="n">
        <v>2.778</v>
      </c>
      <c r="J19" s="7" t="n">
        <v>2.778</v>
      </c>
      <c r="K19" s="7" t="n">
        <v>2.778</v>
      </c>
      <c r="L19" s="7" t="n">
        <v>2.778</v>
      </c>
    </row>
    <row r="20">
      <c r="A20" s="5" t="inlineStr">
        <is>
          <t>chn</t>
        </is>
      </c>
      <c r="B20" s="5" t="inlineStr">
        <is>
          <t>sku-mnd-cls-001</t>
        </is>
      </c>
      <c r="C20" s="5" t="inlineStr">
        <is>
          <t>Minda Clutch Set (HCV)</t>
        </is>
      </c>
      <c r="D20" s="5" t="inlineStr">
        <is>
          <t>cust-chn-002</t>
        </is>
      </c>
      <c r="E20" s="5" t="inlineStr">
        <is>
          <t>EA</t>
        </is>
      </c>
      <c r="F20" s="6" t="n">
        <v>2800</v>
      </c>
      <c r="G20" s="7" t="n">
        <v>4.39</v>
      </c>
      <c r="H20" s="7" t="n">
        <v>4.39</v>
      </c>
      <c r="I20" s="7" t="n">
        <v>4.39</v>
      </c>
      <c r="J20" s="7" t="n">
        <v>4.39</v>
      </c>
      <c r="K20" s="7" t="n">
        <v>4.39</v>
      </c>
      <c r="L20" s="7" t="n">
        <v>4.39</v>
      </c>
    </row>
    <row r="21">
      <c r="A21" s="5" t="inlineStr">
        <is>
          <t>chn</t>
        </is>
      </c>
      <c r="B21" s="5" t="inlineStr">
        <is>
          <t>sku-mnd-fwl-001</t>
        </is>
      </c>
      <c r="C21" s="5" t="inlineStr">
        <is>
          <t>Minda Flywheel Assembly</t>
        </is>
      </c>
      <c r="D21" s="5" t="inlineStr">
        <is>
          <t>cust-chn-002</t>
        </is>
      </c>
      <c r="E21" s="5" t="inlineStr">
        <is>
          <t>EA</t>
        </is>
      </c>
      <c r="F21" s="6" t="n">
        <v>5400</v>
      </c>
      <c r="G21" s="7" t="n">
        <v>1.445</v>
      </c>
      <c r="H21" s="7" t="n">
        <v>1.445</v>
      </c>
      <c r="I21" s="7" t="n">
        <v>1.445</v>
      </c>
      <c r="J21" s="7" t="n">
        <v>1.445</v>
      </c>
      <c r="K21" s="7" t="n">
        <v>1.445</v>
      </c>
      <c r="L21" s="7" t="n">
        <v>1.445</v>
      </c>
    </row>
    <row r="22">
      <c r="A22" s="5" t="inlineStr">
        <is>
          <t>chn</t>
        </is>
      </c>
      <c r="B22" s="5" t="inlineStr">
        <is>
          <t>sku-tvs-bpf-001</t>
        </is>
      </c>
      <c r="C22" s="5" t="inlineStr">
        <is>
          <t>TVS Brake Pad Front (Set)</t>
        </is>
      </c>
      <c r="D22" s="5" t="inlineStr">
        <is>
          <t>cust-chn-001</t>
        </is>
      </c>
      <c r="E22" s="5" t="inlineStr">
        <is>
          <t>EA</t>
        </is>
      </c>
      <c r="F22" s="6" t="n">
        <v>680</v>
      </c>
      <c r="G22" s="7" t="n">
        <v>35.61</v>
      </c>
      <c r="H22" s="7" t="n">
        <v>35.61</v>
      </c>
      <c r="I22" s="7" t="n">
        <v>35.61</v>
      </c>
      <c r="J22" s="7" t="n">
        <v>35.61</v>
      </c>
      <c r="K22" s="7" t="n">
        <v>35.61</v>
      </c>
      <c r="L22" s="7" t="n">
        <v>35.61</v>
      </c>
    </row>
    <row r="23">
      <c r="A23" s="5" t="inlineStr">
        <is>
          <t>chn</t>
        </is>
      </c>
      <c r="B23" s="5" t="inlineStr">
        <is>
          <t>sku-tvs-bpr-001</t>
        </is>
      </c>
      <c r="C23" s="5" t="inlineStr">
        <is>
          <t>TVS Brake Pad Rear (Set)</t>
        </is>
      </c>
      <c r="D23" s="5" t="inlineStr">
        <is>
          <t>cust-chn-001</t>
        </is>
      </c>
      <c r="E23" s="5" t="inlineStr">
        <is>
          <t>EA</t>
        </is>
      </c>
      <c r="F23" s="6" t="n">
        <v>580</v>
      </c>
      <c r="G23" s="7" t="n">
        <v>26.443</v>
      </c>
      <c r="H23" s="7" t="n">
        <v>26.443</v>
      </c>
      <c r="I23" s="7" t="n">
        <v>26.443</v>
      </c>
      <c r="J23" s="7" t="n">
        <v>26.443</v>
      </c>
      <c r="K23" s="7" t="n">
        <v>26.443</v>
      </c>
      <c r="L23" s="7" t="n">
        <v>26.443</v>
      </c>
    </row>
    <row r="24">
      <c r="A24" s="5" t="inlineStr">
        <is>
          <t>mdu</t>
        </is>
      </c>
      <c r="B24" s="5" t="inlineStr">
        <is>
          <t>sku-bsh-aft-001</t>
        </is>
      </c>
      <c r="C24" s="5" t="inlineStr">
        <is>
          <t>Bosch Air Filter (Passenger Car)</t>
        </is>
      </c>
      <c r="D24" s="5" t="inlineStr">
        <is>
          <t>cust-mdu-001</t>
        </is>
      </c>
      <c r="E24" s="5" t="inlineStr">
        <is>
          <t>EA</t>
        </is>
      </c>
      <c r="F24" s="6" t="n">
        <v>340</v>
      </c>
      <c r="G24" s="7" t="n">
        <v>30.845</v>
      </c>
      <c r="H24" s="7" t="n">
        <v>30.845</v>
      </c>
      <c r="I24" s="7" t="n">
        <v>30.845</v>
      </c>
      <c r="J24" s="7" t="n">
        <v>30.845</v>
      </c>
      <c r="K24" s="7" t="n">
        <v>30.845</v>
      </c>
      <c r="L24" s="7" t="n">
        <v>30.845</v>
      </c>
    </row>
    <row r="25">
      <c r="A25" s="5" t="inlineStr">
        <is>
          <t>mdu</t>
        </is>
      </c>
      <c r="B25" s="5" t="inlineStr">
        <is>
          <t>sku-bsh-oft-001</t>
        </is>
      </c>
      <c r="C25" s="5" t="inlineStr">
        <is>
          <t>Bosch Oil Filter (Universal)</t>
        </is>
      </c>
      <c r="D25" s="5" t="inlineStr">
        <is>
          <t>cust-mdu-001</t>
        </is>
      </c>
      <c r="E25" s="5" t="inlineStr">
        <is>
          <t>EA</t>
        </is>
      </c>
      <c r="F25" s="6" t="n">
        <v>185</v>
      </c>
      <c r="G25" s="7" t="n">
        <v>61.654</v>
      </c>
      <c r="H25" s="7" t="n">
        <v>61.654</v>
      </c>
      <c r="I25" s="7" t="n">
        <v>61.654</v>
      </c>
      <c r="J25" s="7" t="n">
        <v>61.654</v>
      </c>
      <c r="K25" s="7" t="n">
        <v>61.654</v>
      </c>
      <c r="L25" s="7" t="n">
        <v>61.654</v>
      </c>
    </row>
    <row r="26">
      <c r="A26" s="5" t="inlineStr">
        <is>
          <t>mdu</t>
        </is>
      </c>
      <c r="B26" s="5" t="inlineStr">
        <is>
          <t>sku-mnd-cls-001</t>
        </is>
      </c>
      <c r="C26" s="5" t="inlineStr">
        <is>
          <t>Minda Clutch Set (HCV)</t>
        </is>
      </c>
      <c r="D26" s="5" t="inlineStr">
        <is>
          <t>cust-mdu-001</t>
        </is>
      </c>
      <c r="E26" s="5" t="inlineStr">
        <is>
          <t>EA</t>
        </is>
      </c>
      <c r="F26" s="6" t="n">
        <v>2800</v>
      </c>
      <c r="G26" s="7" t="n">
        <v>3.001</v>
      </c>
      <c r="H26" s="7" t="n">
        <v>3.001</v>
      </c>
      <c r="I26" s="7" t="n">
        <v>3.001</v>
      </c>
      <c r="J26" s="7" t="n">
        <v>3.001</v>
      </c>
      <c r="K26" s="7" t="n">
        <v>3.001</v>
      </c>
      <c r="L26" s="7" t="n">
        <v>3.001</v>
      </c>
    </row>
    <row r="27">
      <c r="A27" s="5" t="inlineStr">
        <is>
          <t>mdu</t>
        </is>
      </c>
      <c r="B27" s="5" t="inlineStr">
        <is>
          <t>sku-scl-blf-001</t>
        </is>
      </c>
      <c r="C27" s="5" t="inlineStr">
        <is>
          <t>Sundaram-Clayton Brake Fluid DOT4</t>
        </is>
      </c>
      <c r="D27" s="5" t="inlineStr">
        <is>
          <t>cust-mdu-001</t>
        </is>
      </c>
      <c r="E27" s="5" t="inlineStr">
        <is>
          <t>EA</t>
        </is>
      </c>
      <c r="F27" s="6" t="n">
        <v>220</v>
      </c>
      <c r="G27" s="7" t="n">
        <v>34.286</v>
      </c>
      <c r="H27" s="7" t="n">
        <v>34.286</v>
      </c>
      <c r="I27" s="7" t="n">
        <v>34.286</v>
      </c>
      <c r="J27" s="7" t="n">
        <v>34.286</v>
      </c>
      <c r="K27" s="7" t="n">
        <v>34.286</v>
      </c>
      <c r="L27" s="7" t="n">
        <v>34.286</v>
      </c>
    </row>
    <row r="28">
      <c r="A28" s="5" t="inlineStr">
        <is>
          <t>mdu</t>
        </is>
      </c>
      <c r="B28" s="5" t="inlineStr">
        <is>
          <t>sku-tvs-bpf-001</t>
        </is>
      </c>
      <c r="C28" s="5" t="inlineStr">
        <is>
          <t>TVS Brake Pad Front (Set)</t>
        </is>
      </c>
      <c r="D28" s="5" t="inlineStr">
        <is>
          <t>cust-mdu-001</t>
        </is>
      </c>
      <c r="E28" s="5" t="inlineStr">
        <is>
          <t>EA</t>
        </is>
      </c>
      <c r="F28" s="6" t="n">
        <v>680</v>
      </c>
      <c r="G28" s="7" t="n">
        <v>20.333</v>
      </c>
      <c r="H28" s="7" t="n">
        <v>20.333</v>
      </c>
      <c r="I28" s="7" t="n">
        <v>20.333</v>
      </c>
      <c r="J28" s="7" t="n">
        <v>20.333</v>
      </c>
      <c r="K28" s="7" t="n">
        <v>20.333</v>
      </c>
      <c r="L28" s="7" t="n">
        <v>20.333</v>
      </c>
    </row>
    <row r="29">
      <c r="A29" s="5" t="inlineStr">
        <is>
          <t>mdu</t>
        </is>
      </c>
      <c r="B29" s="5" t="inlineStr">
        <is>
          <t>sku-tvs-bpr-001</t>
        </is>
      </c>
      <c r="C29" s="5" t="inlineStr">
        <is>
          <t>TVS Brake Pad Rear (Set)</t>
        </is>
      </c>
      <c r="D29" s="5" t="inlineStr">
        <is>
          <t>cust-mdu-001</t>
        </is>
      </c>
      <c r="E29" s="5" t="inlineStr">
        <is>
          <t>EA</t>
        </is>
      </c>
      <c r="F29" s="6" t="n">
        <v>580</v>
      </c>
      <c r="G29" s="7" t="n">
        <v>20.277</v>
      </c>
      <c r="H29" s="7" t="n">
        <v>20.277</v>
      </c>
      <c r="I29" s="7" t="n">
        <v>20.277</v>
      </c>
      <c r="J29" s="7" t="n">
        <v>20.277</v>
      </c>
      <c r="K29" s="7" t="n">
        <v>20.277</v>
      </c>
      <c r="L29" s="7" t="n">
        <v>20.277</v>
      </c>
    </row>
    <row r="30">
      <c r="A30" s="5" t="inlineStr">
        <is>
          <t>try</t>
        </is>
      </c>
      <c r="B30" s="5" t="inlineStr">
        <is>
          <t>sku-bsh-oft-001</t>
        </is>
      </c>
      <c r="C30" s="5" t="inlineStr">
        <is>
          <t>Bosch Oil Filter (Universal)</t>
        </is>
      </c>
      <c r="D30" s="5" t="inlineStr">
        <is>
          <t>cust-try-001</t>
        </is>
      </c>
      <c r="E30" s="5" t="inlineStr">
        <is>
          <t>EA</t>
        </is>
      </c>
      <c r="F30" s="6" t="n">
        <v>185</v>
      </c>
      <c r="G30" s="7" t="n">
        <v>45.046</v>
      </c>
      <c r="H30" s="7" t="n">
        <v>45.046</v>
      </c>
      <c r="I30" s="7" t="n">
        <v>45.046</v>
      </c>
      <c r="J30" s="7" t="n">
        <v>45.046</v>
      </c>
      <c r="K30" s="7" t="n">
        <v>45.046</v>
      </c>
      <c r="L30" s="7" t="n">
        <v>45.046</v>
      </c>
    </row>
    <row r="31">
      <c r="A31" s="5" t="inlineStr">
        <is>
          <t>try</t>
        </is>
      </c>
      <c r="B31" s="5" t="inlineStr">
        <is>
          <t>sku-bsh-str-001</t>
        </is>
      </c>
      <c r="C31" s="5" t="inlineStr">
        <is>
          <t>Bosch Starter Motor 12V</t>
        </is>
      </c>
      <c r="D31" s="5" t="inlineStr">
        <is>
          <t>cust-try-001</t>
        </is>
      </c>
      <c r="E31" s="5" t="inlineStr">
        <is>
          <t>EA</t>
        </is>
      </c>
      <c r="F31" s="6" t="n">
        <v>3200</v>
      </c>
      <c r="G31" s="7" t="n">
        <v>1.334</v>
      </c>
      <c r="H31" s="7" t="n">
        <v>1.334</v>
      </c>
      <c r="I31" s="7" t="n">
        <v>1.334</v>
      </c>
      <c r="J31" s="7" t="n">
        <v>1.334</v>
      </c>
      <c r="K31" s="7" t="n">
        <v>1.334</v>
      </c>
      <c r="L31" s="7" t="n">
        <v>1.334</v>
      </c>
    </row>
    <row r="32">
      <c r="A32" s="5" t="inlineStr">
        <is>
          <t>try</t>
        </is>
      </c>
      <c r="B32" s="5" t="inlineStr">
        <is>
          <t>sku-mnd-cls-001</t>
        </is>
      </c>
      <c r="C32" s="5" t="inlineStr">
        <is>
          <t>Minda Clutch Set (HCV)</t>
        </is>
      </c>
      <c r="D32" s="5" t="inlineStr">
        <is>
          <t>cust-try-001</t>
        </is>
      </c>
      <c r="E32" s="5" t="inlineStr">
        <is>
          <t>EA</t>
        </is>
      </c>
      <c r="F32" s="6" t="n">
        <v>2800</v>
      </c>
      <c r="G32" s="7" t="n">
        <v>2.723</v>
      </c>
      <c r="H32" s="7" t="n">
        <v>2.723</v>
      </c>
      <c r="I32" s="7" t="n">
        <v>2.723</v>
      </c>
      <c r="J32" s="7" t="n">
        <v>2.723</v>
      </c>
      <c r="K32" s="7" t="n">
        <v>2.723</v>
      </c>
      <c r="L32" s="7" t="n">
        <v>2.723</v>
      </c>
    </row>
    <row r="33">
      <c r="A33" s="5" t="inlineStr">
        <is>
          <t>try</t>
        </is>
      </c>
      <c r="B33" s="5" t="inlineStr">
        <is>
          <t>sku-mnd-fwl-001</t>
        </is>
      </c>
      <c r="C33" s="5" t="inlineStr">
        <is>
          <t>Minda Flywheel Assembly</t>
        </is>
      </c>
      <c r="D33" s="5" t="inlineStr">
        <is>
          <t>cust-try-001</t>
        </is>
      </c>
      <c r="E33" s="5" t="inlineStr">
        <is>
          <t>EA</t>
        </is>
      </c>
      <c r="F33" s="6" t="n">
        <v>5400</v>
      </c>
      <c r="G33" s="7" t="n">
        <v>1</v>
      </c>
      <c r="H33" s="7" t="n">
        <v>1</v>
      </c>
      <c r="I33" s="7" t="n">
        <v>1</v>
      </c>
      <c r="J33" s="7" t="n">
        <v>1</v>
      </c>
      <c r="K33" s="7" t="n">
        <v>1</v>
      </c>
      <c r="L33" s="7" t="n">
        <v>1</v>
      </c>
    </row>
    <row r="34">
      <c r="A34" s="5" t="inlineStr">
        <is>
          <t>try</t>
        </is>
      </c>
      <c r="B34" s="5" t="inlineStr">
        <is>
          <t>sku-scl-blf-001</t>
        </is>
      </c>
      <c r="C34" s="5" t="inlineStr">
        <is>
          <t>Sundaram-Clayton Brake Fluid DOT4</t>
        </is>
      </c>
      <c r="D34" s="5" t="inlineStr">
        <is>
          <t>cust-try-001</t>
        </is>
      </c>
      <c r="E34" s="5" t="inlineStr">
        <is>
          <t>EA</t>
        </is>
      </c>
      <c r="F34" s="6" t="n">
        <v>220</v>
      </c>
      <c r="G34" s="7" t="n">
        <v>29.415</v>
      </c>
      <c r="H34" s="7" t="n">
        <v>29.415</v>
      </c>
      <c r="I34" s="7" t="n">
        <v>29.415</v>
      </c>
      <c r="J34" s="7" t="n">
        <v>29.415</v>
      </c>
      <c r="K34" s="7" t="n">
        <v>29.415</v>
      </c>
      <c r="L34" s="7" t="n">
        <v>29.415</v>
      </c>
    </row>
    <row r="36">
      <c r="A36" s="8" t="inlineStr">
        <is>
          <t>⬛ Highlighted rows have planner overrides applied.</t>
        </is>
      </c>
    </row>
  </sheetData>
  <mergeCells count="3">
    <mergeCell ref="A2:L2"/>
    <mergeCell ref="A36:D3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6" customWidth="1" min="5" max="5"/>
  </cols>
  <sheetData>
    <row r="1" ht="22" customHeight="1">
      <c r="A1" s="9" t="inlineStr">
        <is>
          <t>Period</t>
        </is>
      </c>
      <c r="B1" s="9" t="inlineStr">
        <is>
          <t>Period Start</t>
        </is>
      </c>
      <c r="C1" s="9" t="inlineStr">
        <is>
          <t>Total Final Qty</t>
        </is>
      </c>
      <c r="D1" s="9" t="inlineStr">
        <is>
          <t>Total Final Value (₹)</t>
        </is>
      </c>
      <c r="E1" s="9" t="inlineStr">
        <is>
          <t>Override Count</t>
        </is>
      </c>
    </row>
    <row r="2">
      <c r="A2" s="5" t="inlineStr">
        <is>
          <t>Jan-25</t>
        </is>
      </c>
      <c r="B2" s="10" t="n">
        <v>45658</v>
      </c>
      <c r="C2" s="7" t="n">
        <v>756.202</v>
      </c>
      <c r="D2" s="6" t="n">
        <v>345027.1</v>
      </c>
      <c r="E2" s="5" t="n">
        <v>0</v>
      </c>
    </row>
    <row r="3">
      <c r="A3" s="5" t="inlineStr">
        <is>
          <t>Feb-25</t>
        </is>
      </c>
      <c r="B3" s="10" t="n">
        <v>45689</v>
      </c>
      <c r="C3" s="7" t="n">
        <v>756.202</v>
      </c>
      <c r="D3" s="6" t="n">
        <v>345027.1</v>
      </c>
      <c r="E3" s="5" t="n">
        <v>0</v>
      </c>
    </row>
    <row r="4">
      <c r="A4" s="5" t="inlineStr">
        <is>
          <t>Mar-25</t>
        </is>
      </c>
      <c r="B4" s="10" t="n">
        <v>45717</v>
      </c>
      <c r="C4" s="7" t="n">
        <v>756.202</v>
      </c>
      <c r="D4" s="6" t="n">
        <v>345027.1</v>
      </c>
      <c r="E4" s="5" t="n">
        <v>0</v>
      </c>
    </row>
    <row r="5">
      <c r="A5" s="5" t="inlineStr">
        <is>
          <t>Apr-25</t>
        </is>
      </c>
      <c r="B5" s="10" t="n">
        <v>45748</v>
      </c>
      <c r="C5" s="7" t="n">
        <v>756.202</v>
      </c>
      <c r="D5" s="6" t="n">
        <v>345027.1</v>
      </c>
      <c r="E5" s="5" t="n">
        <v>0</v>
      </c>
    </row>
    <row r="6">
      <c r="A6" s="5" t="inlineStr">
        <is>
          <t>May-25</t>
        </is>
      </c>
      <c r="B6" s="10" t="n">
        <v>45778</v>
      </c>
      <c r="C6" s="7" t="n">
        <v>756.202</v>
      </c>
      <c r="D6" s="6" t="n">
        <v>345027.1</v>
      </c>
      <c r="E6" s="5" t="n">
        <v>0</v>
      </c>
    </row>
    <row r="7">
      <c r="A7" s="5" t="inlineStr">
        <is>
          <t>Jun-25</t>
        </is>
      </c>
      <c r="B7" s="10" t="n">
        <v>45809</v>
      </c>
      <c r="C7" s="7" t="n">
        <v>756.202</v>
      </c>
      <c r="D7" s="6" t="n">
        <v>345027.1</v>
      </c>
      <c r="E7" s="5" t="n">
        <v>0</v>
      </c>
    </row>
    <row r="8">
      <c r="A8" s="11" t="inlineStr">
        <is>
          <t>TOTAL</t>
        </is>
      </c>
      <c r="C8" s="12">
        <f>SUM(C2:C7)</f>
        <v/>
      </c>
      <c r="D8" s="13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2026-06-23T06:52:03Z</dcterms:created>
  <dcterms:modified xsi:type="dcterms:W3CDTF">2026-06-23T06:52:03Z</dcterms:modified>
</cp:coreProperties>
</file>